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cuments\Claude\Confluence\ProjectStatus\"/>
    </mc:Choice>
  </mc:AlternateContent>
  <xr:revisionPtr revIDLastSave="0" documentId="13_ncr:1_{3C925741-60F6-46E0-A9CA-8E9C3DA4C6DB}" xr6:coauthVersionLast="47" xr6:coauthVersionMax="47" xr10:uidLastSave="{00000000-0000-0000-0000-000000000000}"/>
  <bookViews>
    <workbookView xWindow="-120" yWindow="-120" windowWidth="29040" windowHeight="15720" xr2:uid="{6A6685ED-1465-4A40-9FF4-C942A4BBE230}"/>
  </bookViews>
  <sheets>
    <sheet name="Overview" sheetId="1" r:id="rId1"/>
    <sheet name="Project Tracker" sheetId="2" r:id="rId2"/>
    <sheet name="Production Iss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2" l="1"/>
  <c r="M24" i="2"/>
  <c r="L24" i="2"/>
  <c r="K24" i="2"/>
  <c r="J24" i="2"/>
  <c r="I24" i="2"/>
  <c r="H24" i="2"/>
  <c r="G24" i="2"/>
  <c r="F24" i="2"/>
  <c r="N26" i="2"/>
  <c r="M26" i="2"/>
  <c r="L26" i="2"/>
  <c r="K26" i="2"/>
  <c r="J26" i="2"/>
  <c r="I26" i="2"/>
  <c r="H26" i="2"/>
  <c r="G26" i="2"/>
  <c r="F26" i="2"/>
  <c r="N25" i="2"/>
  <c r="M25" i="2"/>
  <c r="L25" i="2"/>
  <c r="K25" i="2"/>
  <c r="J25" i="2"/>
  <c r="I25" i="2"/>
  <c r="H25" i="2"/>
  <c r="G25" i="2"/>
  <c r="F25" i="2"/>
  <c r="N27" i="2"/>
  <c r="M27" i="2"/>
  <c r="L27" i="2"/>
  <c r="K27" i="2"/>
  <c r="J27" i="2"/>
  <c r="I27" i="2"/>
  <c r="H27" i="2"/>
  <c r="G27" i="2"/>
  <c r="F27" i="2"/>
  <c r="N18" i="2"/>
  <c r="M18" i="2"/>
  <c r="L18" i="2"/>
  <c r="K18" i="2"/>
  <c r="J18" i="2"/>
  <c r="I18" i="2"/>
  <c r="H18" i="2"/>
  <c r="F18" i="2"/>
  <c r="J9" i="2"/>
  <c r="I9" i="2"/>
  <c r="H9" i="2"/>
  <c r="G9" i="2"/>
  <c r="N15" i="2"/>
  <c r="M15" i="2"/>
  <c r="L15" i="2"/>
  <c r="K15" i="2"/>
  <c r="J15" i="2"/>
  <c r="I15" i="2"/>
  <c r="H15" i="2"/>
  <c r="G15" i="2"/>
  <c r="N3" i="2"/>
  <c r="M3" i="2"/>
  <c r="L3" i="2"/>
  <c r="K3" i="2"/>
  <c r="J3" i="2"/>
  <c r="I3" i="2"/>
  <c r="H3" i="2"/>
  <c r="G3" i="2"/>
  <c r="N2" i="2"/>
  <c r="M2" i="2"/>
  <c r="L2" i="2"/>
  <c r="K2" i="2"/>
  <c r="J2" i="2"/>
  <c r="I2" i="2"/>
  <c r="H2" i="2"/>
  <c r="G2" i="2"/>
  <c r="F17" i="2"/>
  <c r="F16" i="2"/>
  <c r="F9" i="2"/>
  <c r="F15" i="2"/>
  <c r="F14" i="2"/>
  <c r="F13" i="2"/>
  <c r="F12" i="2"/>
  <c r="F11" i="2"/>
  <c r="F10" i="2"/>
  <c r="F8" i="2"/>
  <c r="F7" i="2"/>
  <c r="F6" i="2"/>
  <c r="F5" i="2"/>
  <c r="F4" i="2"/>
  <c r="F3" i="2"/>
  <c r="F2" i="2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C5" i="1"/>
  <c r="A5" i="1"/>
</calcChain>
</file>

<file path=xl/sharedStrings.xml><?xml version="1.0" encoding="utf-8"?>
<sst xmlns="http://schemas.openxmlformats.org/spreadsheetml/2006/main" count="141" uniqueCount="98">
  <si>
    <t>Project Status Tracker</t>
  </si>
  <si>
    <t>Dynamic overview driven by the Project Tracker sheet.</t>
  </si>
  <si>
    <t>Status Count</t>
  </si>
  <si>
    <t>Status</t>
  </si>
  <si>
    <t>Count</t>
  </si>
  <si>
    <t>Development</t>
  </si>
  <si>
    <t>SIT</t>
  </si>
  <si>
    <t>UAT</t>
  </si>
  <si>
    <t>EA</t>
  </si>
  <si>
    <t>In Progress</t>
  </si>
  <si>
    <t>RTB - Handover</t>
  </si>
  <si>
    <t>Grooming</t>
  </si>
  <si>
    <t>Pending</t>
  </si>
  <si>
    <t>Staging</t>
  </si>
  <si>
    <t>FSD</t>
  </si>
  <si>
    <t>Gone Live</t>
  </si>
  <si>
    <t>Go-Live</t>
  </si>
  <si>
    <t>PGL</t>
  </si>
  <si>
    <t>Analysis</t>
  </si>
  <si>
    <t>Support</t>
  </si>
  <si>
    <t>Sno</t>
  </si>
  <si>
    <t>JIRA ID</t>
  </si>
  <si>
    <t>Initiative / Title</t>
  </si>
  <si>
    <t>Developer</t>
  </si>
  <si>
    <t>DMGT-22</t>
  </si>
  <si>
    <t>ESG Millionaire Draw / ESG Millionaire ECD</t>
  </si>
  <si>
    <t>DMGT-65</t>
  </si>
  <si>
    <t>Manish</t>
  </si>
  <si>
    <t>DMGT-253</t>
  </si>
  <si>
    <t>DMGT-328</t>
  </si>
  <si>
    <t>DMGT-407</t>
  </si>
  <si>
    <t>Dated Security Cheque Printing (HFLMS &amp; FinnOne)</t>
  </si>
  <si>
    <t>DMGT-442</t>
  </si>
  <si>
    <t>DMGT-443</t>
  </si>
  <si>
    <t>DDA Cancellation</t>
  </si>
  <si>
    <t>DMGT-698</t>
  </si>
  <si>
    <t>Migration of DIB Legacy to HFLMS</t>
  </si>
  <si>
    <t>NA</t>
  </si>
  <si>
    <t>DMGT-947</t>
  </si>
  <si>
    <t>Addition of customer name fields(Arabic) HF LMS</t>
  </si>
  <si>
    <t>Sneha</t>
  </si>
  <si>
    <t>DMGT-1020</t>
  </si>
  <si>
    <t>DMGT-1260</t>
  </si>
  <si>
    <t>ESD - Climate Risk Data</t>
  </si>
  <si>
    <t>DMGT-1272</t>
  </si>
  <si>
    <t>Input Fields Validation / Input fields validations</t>
  </si>
  <si>
    <t>DMGT-1340</t>
  </si>
  <si>
    <t>AECB for Sales</t>
  </si>
  <si>
    <t>DMGT-1406</t>
  </si>
  <si>
    <t>CPR Personal Data Consent Management</t>
  </si>
  <si>
    <t>DMGT-1416</t>
  </si>
  <si>
    <t>MBRE Non Subsidy</t>
  </si>
  <si>
    <t>DMGT-1525</t>
  </si>
  <si>
    <t>EMX Delivery Partner</t>
  </si>
  <si>
    <t>DMGT-1526</t>
  </si>
  <si>
    <t>Hariprasath</t>
  </si>
  <si>
    <t>DMGT-1792</t>
  </si>
  <si>
    <t>Digitization of HF contract documents and contract mapping</t>
  </si>
  <si>
    <t>Raquib</t>
  </si>
  <si>
    <t>DMGT-1825</t>
  </si>
  <si>
    <t>CRAT PGL Issue - LAST REVIEW DATE not passed to CRAT</t>
  </si>
  <si>
    <t>DMGT-1842</t>
  </si>
  <si>
    <t>EFR billing</t>
  </si>
  <si>
    <t>DMGT-1943</t>
  </si>
  <si>
    <t>HF48 Phase 2</t>
  </si>
  <si>
    <t>DMGT-1966</t>
  </si>
  <si>
    <t>Duplicate CIF Linkage of closed customer</t>
  </si>
  <si>
    <t>DMGT-1981</t>
  </si>
  <si>
    <t>Low Doc / Create a flag in HF LMS to identify the low doc customers</t>
  </si>
  <si>
    <t>DMGT-2046</t>
  </si>
  <si>
    <t>DR Module</t>
  </si>
  <si>
    <t>DMGT-2135</t>
  </si>
  <si>
    <t>Frontline hero offer HF / Frontliner Hero</t>
  </si>
  <si>
    <t>Initiative</t>
  </si>
  <si>
    <t>FSD Sent</t>
  </si>
  <si>
    <t>FSD Sign off</t>
  </si>
  <si>
    <t>Dev</t>
  </si>
  <si>
    <t>Remarks</t>
  </si>
  <si>
    <t>Delay Remarks</t>
  </si>
  <si>
    <t>PDF WITH ZERO KB in DDS UAT TEST - DDS Production issue</t>
  </si>
  <si>
    <t>Payment Flag in the MRC Report - Production issue</t>
  </si>
  <si>
    <t>MF202826 - ANTOINE HADDAD - MF147986 - Production issue</t>
  </si>
  <si>
    <t>Aftersales Performance Improvement</t>
  </si>
  <si>
    <t>HF-Product Takaful Provider Integration and Rate Management</t>
  </si>
  <si>
    <t>Addition and Deletion Customer Details in HFLMS</t>
  </si>
  <si>
    <t>HF Emirates Face Recognition (EFR) - Phase 1</t>
  </si>
  <si>
    <t>Dedup Logic Controls in DIB Customer Onboarding Platforms</t>
  </si>
  <si>
    <t xml:space="preserve">Grooming </t>
  </si>
  <si>
    <t xml:space="preserve">EA </t>
  </si>
  <si>
    <t xml:space="preserve">Dev </t>
  </si>
  <si>
    <t xml:space="preserve">SIT </t>
  </si>
  <si>
    <t xml:space="preserve">UAT  </t>
  </si>
  <si>
    <t xml:space="preserve">Staging </t>
  </si>
  <si>
    <t xml:space="preserve">Go-Live </t>
  </si>
  <si>
    <t>HF48 - Phase 1</t>
  </si>
  <si>
    <t>QR code Liability and Non-Liability Letter</t>
  </si>
  <si>
    <t>DMGT-341</t>
  </si>
  <si>
    <t>CIF data 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</si>
</sst>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2"/>
      <color rgb="FFFFFFFF"/>
      <name val="Calibri"/>
      <family val="2"/>
    </font>
    <font>
      <i/>
      <sz val="11"/>
      <color rgb="FF44546A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44546A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Wingdings 2"/>
      <family val="1"/>
      <charset val="2"/>
    </font>
  </fonts>
  <fills count="22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4F4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4EE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5" borderId="1" xfId="0" applyFont="1" applyFill="1" applyBorder="1"/>
    <xf numFmtId="0" fontId="4" fillId="16" borderId="1" xfId="0" applyFont="1" applyFill="1" applyBorder="1"/>
    <xf numFmtId="0" fontId="4" fillId="17" borderId="1" xfId="0" applyFont="1" applyFill="1" applyBorder="1"/>
    <xf numFmtId="0" fontId="8" fillId="3" borderId="1" xfId="0" applyFont="1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2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7" fillId="18" borderId="1" xfId="0" applyFont="1" applyFill="1" applyBorder="1" applyAlignment="1">
      <alignment wrapText="1"/>
    </xf>
    <xf numFmtId="0" fontId="1" fillId="18" borderId="1" xfId="0" applyFont="1" applyFill="1" applyBorder="1" applyAlignment="1">
      <alignment wrapText="1"/>
    </xf>
    <xf numFmtId="0" fontId="9" fillId="19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0" fillId="20" borderId="1" xfId="0" applyFont="1" applyFill="1" applyBorder="1" applyAlignment="1">
      <alignment vertical="top" wrapText="1"/>
    </xf>
  </cellXfs>
  <cellStyles count="1">
    <cellStyle name="Normal" xfId="0" builtinId="0"/>
  </cellStyles>
  <dxfs count="28">
    <dxf>
      <font>
        <b/>
        <i val="0"/>
      </font>
      <fill>
        <patternFill>
          <bgColor rgb="FFD7E4BD"/>
        </patternFill>
      </fill>
    </dxf>
    <dxf>
      <font>
        <b/>
        <i val="0"/>
      </font>
      <fill>
        <patternFill>
          <bgColor rgb="FFD9E1F2"/>
        </patternFill>
      </fill>
    </dxf>
    <dxf>
      <font>
        <b/>
        <i val="0"/>
      </font>
      <fill>
        <patternFill>
          <bgColor rgb="FFFCE4D6"/>
        </patternFill>
      </fill>
    </dxf>
    <dxf>
      <font>
        <b/>
        <i val="0"/>
      </font>
      <fill>
        <patternFill>
          <bgColor rgb="FFF2F2F2"/>
        </patternFill>
      </fill>
    </dxf>
    <dxf>
      <font>
        <b/>
        <i val="0"/>
      </font>
      <fill>
        <patternFill>
          <bgColor rgb="FFF4F4CC"/>
        </patternFill>
      </fill>
    </dxf>
    <dxf>
      <font>
        <b/>
        <i val="0"/>
      </font>
      <fill>
        <patternFill>
          <bgColor rgb="FFEAD1DC"/>
        </patternFill>
      </fill>
    </dxf>
    <dxf>
      <font>
        <b/>
        <i val="0"/>
      </font>
      <fill>
        <patternFill>
          <bgColor rgb="FFD9D2E9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C6E0B4"/>
        </patternFill>
      </fill>
    </dxf>
    <dxf>
      <font>
        <b/>
        <i val="0"/>
      </font>
      <fill>
        <patternFill>
          <bgColor rgb="FFDDEBF7"/>
        </patternFill>
      </fill>
    </dxf>
    <dxf>
      <font>
        <b/>
        <i val="0"/>
      </font>
      <fill>
        <patternFill>
          <bgColor rgb="FFD9EAD3"/>
        </patternFill>
      </fill>
    </dxf>
    <dxf>
      <font>
        <b/>
        <i val="0"/>
      </font>
      <fill>
        <patternFill>
          <bgColor rgb="FFFFF2CC"/>
        </patternFill>
      </fill>
    </dxf>
    <dxf>
      <font>
        <b/>
        <i val="0"/>
      </font>
      <fill>
        <patternFill>
          <bgColor rgb="FFD7E4BD"/>
        </patternFill>
      </fill>
    </dxf>
    <dxf>
      <font>
        <b/>
        <i val="0"/>
      </font>
      <fill>
        <patternFill>
          <bgColor rgb="FFD9E1F2"/>
        </patternFill>
      </fill>
    </dxf>
    <dxf>
      <font>
        <b/>
        <i val="0"/>
      </font>
      <fill>
        <patternFill>
          <bgColor rgb="FFFCE4D6"/>
        </patternFill>
      </fill>
    </dxf>
    <dxf>
      <font>
        <b/>
        <i val="0"/>
      </font>
      <fill>
        <patternFill>
          <bgColor rgb="FFC6E0B4"/>
        </patternFill>
      </fill>
    </dxf>
    <dxf>
      <font>
        <b/>
        <i val="0"/>
      </font>
      <fill>
        <patternFill>
          <bgColor rgb="FFC6E0B4"/>
        </patternFill>
      </fill>
    </dxf>
    <dxf>
      <font>
        <b/>
        <i val="0"/>
      </font>
      <fill>
        <patternFill>
          <bgColor rgb="FFEAD1DC"/>
        </patternFill>
      </fill>
    </dxf>
    <dxf>
      <font>
        <b/>
        <i val="0"/>
      </font>
      <fill>
        <patternFill>
          <bgColor rgb="FFE2F0D9"/>
        </patternFill>
      </fill>
    </dxf>
    <dxf>
      <font>
        <b/>
        <i val="0"/>
      </font>
      <fill>
        <patternFill>
          <bgColor rgb="FFF2F2F2"/>
        </patternFill>
      </fill>
    </dxf>
    <dxf>
      <font>
        <b/>
        <i val="0"/>
      </font>
      <fill>
        <patternFill>
          <bgColor rgb="FFF4F4CC"/>
        </patternFill>
      </fill>
    </dxf>
    <dxf>
      <font>
        <b/>
        <i val="0"/>
      </font>
      <fill>
        <patternFill>
          <bgColor rgb="FFDDEBF7"/>
        </patternFill>
      </fill>
    </dxf>
    <dxf>
      <font>
        <b/>
        <i val="0"/>
      </font>
      <fill>
        <patternFill>
          <bgColor rgb="FFDDEBF7"/>
        </patternFill>
      </fill>
    </dxf>
    <dxf>
      <font>
        <b/>
        <i val="0"/>
      </font>
      <fill>
        <patternFill>
          <bgColor rgb="FFFFE599"/>
        </patternFill>
      </fill>
    </dxf>
    <dxf>
      <font>
        <b/>
        <i val="0"/>
      </font>
      <fill>
        <patternFill>
          <bgColor rgb="FFD9D2E9"/>
        </patternFill>
      </fill>
    </dxf>
    <dxf>
      <font>
        <b/>
        <i val="0"/>
      </font>
      <fill>
        <patternFill>
          <bgColor rgb="FFD9EAD3"/>
        </patternFill>
      </fill>
    </dxf>
    <dxf>
      <font>
        <b/>
        <i val="0"/>
      </font>
      <fill>
        <patternFill>
          <bgColor rgb="FFDDEBF7"/>
        </patternFill>
      </fill>
    </dxf>
    <dxf>
      <font>
        <b/>
        <i val="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9E5B-DEA9-4163-A5B7-0CAAA3DE7833}">
  <sheetPr>
    <tabColor rgb="FF1F4E79"/>
  </sheetPr>
  <dimension ref="A1:H26"/>
  <sheetViews>
    <sheetView tabSelected="1" workbookViewId="0">
      <selection activeCell="M21" sqref="M21"/>
    </sheetView>
  </sheetViews>
  <sheetFormatPr defaultRowHeight="15" x14ac:dyDescent="0.25"/>
  <cols>
    <col min="1" max="1" width="14.5703125" style="1" bestFit="1" customWidth="1"/>
    <col min="2" max="2" width="6.28515625" style="1" bestFit="1" customWidth="1"/>
    <col min="3" max="16384" width="9.140625" style="1"/>
  </cols>
  <sheetData>
    <row r="1" spans="1:8" x14ac:dyDescent="0.25">
      <c r="A1" s="21" t="s">
        <v>0</v>
      </c>
      <c r="B1" s="22"/>
      <c r="C1" s="22"/>
      <c r="D1" s="22"/>
      <c r="E1" s="22"/>
      <c r="F1" s="22"/>
      <c r="G1" s="22"/>
      <c r="H1" s="22"/>
    </row>
    <row r="2" spans="1:8" x14ac:dyDescent="0.25">
      <c r="A2" s="22"/>
      <c r="B2" s="22"/>
      <c r="C2" s="22"/>
      <c r="D2" s="22"/>
      <c r="E2" s="22"/>
      <c r="F2" s="22"/>
      <c r="G2" s="22"/>
      <c r="H2" s="22"/>
    </row>
    <row r="3" spans="1:8" x14ac:dyDescent="0.25">
      <c r="A3" s="23" t="s">
        <v>1</v>
      </c>
      <c r="B3" s="24"/>
      <c r="C3" s="24"/>
      <c r="D3" s="24"/>
      <c r="E3" s="24"/>
      <c r="F3" s="24"/>
      <c r="G3" s="24"/>
      <c r="H3" s="24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5" t="str">
        <f>"Unique JIRA IDs"&amp;CHAR(10)&amp;(COUNTA('Project Tracker'!B:B)-1)</f>
        <v>Unique JIRA IDs
26</v>
      </c>
      <c r="B5" s="26"/>
      <c r="C5" s="27" t="str">
        <f>"Production Issues"&amp;CHAR(10)&amp;(COUNTA('Production Issues'!A:A)-1)</f>
        <v>Production Issues
4</v>
      </c>
      <c r="D5" s="28"/>
      <c r="E5" s="2"/>
      <c r="F5" s="2"/>
      <c r="G5" s="2"/>
      <c r="H5" s="2"/>
    </row>
    <row r="6" spans="1:8" x14ac:dyDescent="0.25">
      <c r="A6" s="26"/>
      <c r="B6" s="26"/>
      <c r="C6" s="28"/>
      <c r="D6" s="28"/>
      <c r="E6" s="2"/>
      <c r="F6" s="2"/>
      <c r="G6" s="2"/>
      <c r="H6" s="2"/>
    </row>
    <row r="7" spans="1:8" x14ac:dyDescent="0.25">
      <c r="A7" s="26"/>
      <c r="B7" s="26"/>
      <c r="C7" s="28"/>
      <c r="D7" s="28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9" t="s">
        <v>2</v>
      </c>
      <c r="B10" s="29"/>
      <c r="C10" s="2"/>
      <c r="D10" s="2"/>
      <c r="E10" s="30"/>
      <c r="F10" s="31"/>
      <c r="G10" s="31"/>
      <c r="H10" s="31"/>
    </row>
    <row r="11" spans="1:8" x14ac:dyDescent="0.25">
      <c r="A11" s="3" t="s">
        <v>3</v>
      </c>
      <c r="B11" s="3" t="s">
        <v>4</v>
      </c>
      <c r="C11" s="2"/>
      <c r="D11" s="2"/>
      <c r="E11" s="31"/>
      <c r="F11" s="31"/>
      <c r="G11" s="31"/>
      <c r="H11" s="31"/>
    </row>
    <row r="12" spans="1:8" x14ac:dyDescent="0.25">
      <c r="A12" s="4" t="s">
        <v>5</v>
      </c>
      <c r="B12" s="4">
        <f>COUNTIF('Project Tracker'!D:D,"Development")</f>
        <v>5</v>
      </c>
      <c r="C12" s="2"/>
      <c r="D12" s="2"/>
      <c r="E12" s="31"/>
      <c r="F12" s="31"/>
      <c r="G12" s="31"/>
      <c r="H12" s="31"/>
    </row>
    <row r="13" spans="1:8" x14ac:dyDescent="0.25">
      <c r="A13" s="5" t="s">
        <v>6</v>
      </c>
      <c r="B13" s="5">
        <f>COUNTIF('Project Tracker'!D:D,"SIT")</f>
        <v>0</v>
      </c>
      <c r="C13" s="2"/>
      <c r="D13" s="2"/>
      <c r="E13" s="31"/>
      <c r="F13" s="31"/>
      <c r="G13" s="31"/>
      <c r="H13" s="31"/>
    </row>
    <row r="14" spans="1:8" x14ac:dyDescent="0.25">
      <c r="A14" s="6" t="s">
        <v>7</v>
      </c>
      <c r="B14" s="6">
        <f>COUNTIF('Project Tracker'!D:D,"UAT")</f>
        <v>1</v>
      </c>
      <c r="C14" s="2"/>
      <c r="D14" s="2"/>
      <c r="E14" s="31"/>
      <c r="F14" s="31"/>
      <c r="G14" s="31"/>
      <c r="H14" s="31"/>
    </row>
    <row r="15" spans="1:8" x14ac:dyDescent="0.25">
      <c r="A15" s="7" t="s">
        <v>8</v>
      </c>
      <c r="B15" s="7">
        <f>COUNTIF('Project Tracker'!D:D,"EA")+COUNTIF('Project Tracker'!D:D,"EA.FSD")+COUNTIF('Project Tracker'!D:D,"EA FSD")+COUNTIF('Project Tracker'!D:D,"EA/FSD")+COUNTIF('Project Tracker'!D:D,"EA - FSD")</f>
        <v>0</v>
      </c>
      <c r="C15" s="2"/>
      <c r="D15" s="2"/>
      <c r="E15" s="31"/>
      <c r="F15" s="31"/>
      <c r="G15" s="31"/>
      <c r="H15" s="31"/>
    </row>
    <row r="16" spans="1:8" x14ac:dyDescent="0.25">
      <c r="A16" s="8" t="s">
        <v>9</v>
      </c>
      <c r="B16" s="8">
        <f>COUNTIF('Project Tracker'!D:D,"In Progress")</f>
        <v>2</v>
      </c>
      <c r="C16" s="2"/>
      <c r="D16" s="2"/>
      <c r="E16" s="31"/>
      <c r="F16" s="31"/>
      <c r="G16" s="31"/>
      <c r="H16" s="31"/>
    </row>
    <row r="17" spans="1:8" x14ac:dyDescent="0.25">
      <c r="A17" s="5" t="s">
        <v>10</v>
      </c>
      <c r="B17" s="5">
        <f>COUNTIF('Project Tracker'!D:D,"RTB - Handover")+COUNTIF('Project Tracker'!D:D,"RTB-Handover")+COUNTIF('Project Tracker'!D:D,"RTB Handover")</f>
        <v>5</v>
      </c>
      <c r="C17" s="2"/>
      <c r="D17" s="2"/>
      <c r="E17" s="2"/>
      <c r="F17" s="2"/>
      <c r="G17" s="2"/>
      <c r="H17" s="2"/>
    </row>
    <row r="18" spans="1:8" x14ac:dyDescent="0.25">
      <c r="A18" s="9" t="s">
        <v>11</v>
      </c>
      <c r="B18" s="9">
        <f>COUNTIF('Project Tracker'!D:D,"Grooming")</f>
        <v>2</v>
      </c>
      <c r="C18" s="2"/>
      <c r="D18" s="2"/>
      <c r="E18" s="2"/>
      <c r="F18" s="2"/>
      <c r="G18" s="2"/>
      <c r="H18" s="2"/>
    </row>
    <row r="19" spans="1:8" x14ac:dyDescent="0.25">
      <c r="A19" s="10" t="s">
        <v>12</v>
      </c>
      <c r="B19" s="10">
        <f>COUNTIF('Project Tracker'!D:D,"Pending")</f>
        <v>2</v>
      </c>
      <c r="C19" s="2"/>
      <c r="D19" s="2"/>
      <c r="E19" s="2"/>
      <c r="F19" s="2"/>
      <c r="G19" s="2"/>
      <c r="H19" s="2"/>
    </row>
    <row r="20" spans="1:8" x14ac:dyDescent="0.25">
      <c r="A20" s="11" t="s">
        <v>13</v>
      </c>
      <c r="B20" s="11">
        <f>COUNTIF('Project Tracker'!D:D,"Staging")</f>
        <v>0</v>
      </c>
      <c r="C20" s="2"/>
      <c r="D20" s="2"/>
      <c r="E20" s="2"/>
      <c r="F20" s="2"/>
      <c r="G20" s="2"/>
      <c r="H20" s="2"/>
    </row>
    <row r="21" spans="1:8" x14ac:dyDescent="0.25">
      <c r="A21" s="12" t="s">
        <v>14</v>
      </c>
      <c r="B21" s="12">
        <f>COUNTIF('Project Tracker'!D:D,"FSD")</f>
        <v>1</v>
      </c>
      <c r="C21" s="2"/>
      <c r="D21" s="2"/>
      <c r="E21" s="2"/>
      <c r="F21" s="2"/>
      <c r="G21" s="2"/>
      <c r="H21" s="2"/>
    </row>
    <row r="22" spans="1:8" x14ac:dyDescent="0.25">
      <c r="A22" s="13" t="s">
        <v>15</v>
      </c>
      <c r="B22" s="13">
        <f>COUNTIF('Project Tracker'!D:D,"Gone Live")</f>
        <v>5</v>
      </c>
      <c r="C22" s="2"/>
      <c r="D22" s="2"/>
      <c r="E22" s="2"/>
      <c r="F22" s="2"/>
      <c r="G22" s="2"/>
      <c r="H22" s="2"/>
    </row>
    <row r="23" spans="1:8" x14ac:dyDescent="0.25">
      <c r="A23" s="13" t="s">
        <v>16</v>
      </c>
      <c r="B23" s="13">
        <f>COUNTIF('Project Tracker'!D:D,"Go-Live")+COUNTIF('Project Tracker'!D:D,"Go Live")</f>
        <v>1</v>
      </c>
      <c r="C23" s="2"/>
      <c r="D23" s="2"/>
      <c r="E23" s="2"/>
      <c r="F23" s="2"/>
      <c r="G23" s="2"/>
      <c r="H23" s="2"/>
    </row>
    <row r="24" spans="1:8" x14ac:dyDescent="0.25">
      <c r="A24" s="14" t="s">
        <v>17</v>
      </c>
      <c r="B24" s="14">
        <f>COUNTIF('Project Tracker'!D:D,"PGL")</f>
        <v>0</v>
      </c>
      <c r="C24" s="2"/>
      <c r="D24" s="2"/>
      <c r="E24" s="2"/>
      <c r="F24" s="2"/>
      <c r="G24" s="2"/>
      <c r="H24" s="2"/>
    </row>
    <row r="25" spans="1:8" x14ac:dyDescent="0.25">
      <c r="A25" s="15" t="s">
        <v>18</v>
      </c>
      <c r="B25" s="15">
        <f>COUNTIF('Project Tracker'!D:D,"Analysis")</f>
        <v>0</v>
      </c>
      <c r="C25" s="2"/>
      <c r="D25" s="2"/>
      <c r="E25" s="2"/>
      <c r="F25" s="2"/>
      <c r="G25" s="2"/>
      <c r="H25" s="2"/>
    </row>
    <row r="26" spans="1:8" x14ac:dyDescent="0.25">
      <c r="A26" s="16" t="s">
        <v>19</v>
      </c>
      <c r="B26" s="16">
        <f>COUNTIF('Project Tracker'!D:D,"Support")</f>
        <v>2</v>
      </c>
      <c r="C26" s="2"/>
      <c r="D26" s="2"/>
      <c r="E26" s="2"/>
      <c r="F26" s="2"/>
      <c r="G26" s="2"/>
      <c r="H26" s="2"/>
    </row>
  </sheetData>
  <mergeCells count="6">
    <mergeCell ref="A1:H2"/>
    <mergeCell ref="A3:H3"/>
    <mergeCell ref="A5:B7"/>
    <mergeCell ref="C5:D7"/>
    <mergeCell ref="A10:B10"/>
    <mergeCell ref="E10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801B-D2E3-45F6-A65C-31C962EC1064}">
  <sheetPr>
    <tabColor rgb="FF5B9BD5"/>
  </sheetPr>
  <dimension ref="A1:N27"/>
  <sheetViews>
    <sheetView workbookViewId="0">
      <selection activeCell="J14" sqref="J14"/>
    </sheetView>
  </sheetViews>
  <sheetFormatPr defaultColWidth="58.140625" defaultRowHeight="15" x14ac:dyDescent="0.25"/>
  <cols>
    <col min="1" max="1" width="4.42578125" bestFit="1" customWidth="1"/>
    <col min="2" max="2" width="10.85546875" bestFit="1" customWidth="1"/>
    <col min="3" max="3" width="62.85546875" customWidth="1"/>
    <col min="4" max="4" width="14.85546875" bestFit="1" customWidth="1"/>
    <col min="5" max="5" width="11.5703125" bestFit="1" customWidth="1"/>
    <col min="6" max="6" width="9.85546875" bestFit="1" customWidth="1"/>
    <col min="7" max="7" width="8.85546875" customWidth="1"/>
    <col min="8" max="8" width="6.85546875" customWidth="1"/>
    <col min="9" max="9" width="8.140625" customWidth="1"/>
    <col min="10" max="10" width="8.42578125" customWidth="1"/>
    <col min="11" max="11" width="10.5703125" customWidth="1"/>
    <col min="12" max="12" width="7.5703125" bestFit="1" customWidth="1"/>
    <col min="13" max="13" width="8" bestFit="1" customWidth="1"/>
    <col min="14" max="14" width="14.85546875" bestFit="1" customWidth="1"/>
    <col min="15" max="15" width="22.85546875" customWidth="1"/>
  </cols>
  <sheetData>
    <row r="1" spans="1:14" x14ac:dyDescent="0.25">
      <c r="A1" s="17" t="s">
        <v>20</v>
      </c>
      <c r="B1" s="17" t="s">
        <v>21</v>
      </c>
      <c r="C1" s="17" t="s">
        <v>22</v>
      </c>
      <c r="D1" s="17" t="s">
        <v>3</v>
      </c>
      <c r="E1" s="17" t="s">
        <v>23</v>
      </c>
      <c r="F1" s="17" t="s">
        <v>87</v>
      </c>
      <c r="G1" s="17" t="s">
        <v>14</v>
      </c>
      <c r="H1" s="17" t="s">
        <v>88</v>
      </c>
      <c r="I1" s="17" t="s">
        <v>89</v>
      </c>
      <c r="J1" s="17" t="s">
        <v>90</v>
      </c>
      <c r="K1" s="17" t="s">
        <v>91</v>
      </c>
      <c r="L1" s="17" t="s">
        <v>92</v>
      </c>
      <c r="M1" s="17" t="s">
        <v>93</v>
      </c>
      <c r="N1" s="17" t="s">
        <v>10</v>
      </c>
    </row>
    <row r="2" spans="1:14" x14ac:dyDescent="0.25">
      <c r="A2" s="18">
        <v>1</v>
      </c>
      <c r="B2" s="18" t="s">
        <v>24</v>
      </c>
      <c r="C2" s="18" t="s">
        <v>25</v>
      </c>
      <c r="D2" s="33" t="s">
        <v>15</v>
      </c>
      <c r="E2" s="18"/>
      <c r="F2" s="32" t="str">
        <f>CHAR(252)</f>
        <v>ü</v>
      </c>
      <c r="G2" s="32" t="str">
        <f>CHAR(252)</f>
        <v>ü</v>
      </c>
      <c r="H2" s="32" t="str">
        <f>CHAR(252)</f>
        <v>ü</v>
      </c>
      <c r="I2" s="32" t="str">
        <f>CHAR(252)</f>
        <v>ü</v>
      </c>
      <c r="J2" s="32" t="str">
        <f>CHAR(252)</f>
        <v>ü</v>
      </c>
      <c r="K2" s="32" t="str">
        <f>CHAR(252)</f>
        <v>ü</v>
      </c>
      <c r="L2" s="32" t="str">
        <f>CHAR(252)</f>
        <v>ü</v>
      </c>
      <c r="M2" s="32" t="str">
        <f>CHAR(252)</f>
        <v>ü</v>
      </c>
      <c r="N2" s="32" t="str">
        <f>CHAR(251)</f>
        <v>û</v>
      </c>
    </row>
    <row r="3" spans="1:14" x14ac:dyDescent="0.25">
      <c r="A3" s="19">
        <v>2</v>
      </c>
      <c r="B3" s="19" t="s">
        <v>26</v>
      </c>
      <c r="C3" s="19" t="s">
        <v>94</v>
      </c>
      <c r="D3" s="33" t="s">
        <v>15</v>
      </c>
      <c r="E3" s="19" t="s">
        <v>27</v>
      </c>
      <c r="F3" s="32" t="str">
        <f>CHAR(252)</f>
        <v>ü</v>
      </c>
      <c r="G3" s="32" t="str">
        <f>CHAR(252)</f>
        <v>ü</v>
      </c>
      <c r="H3" s="32" t="str">
        <f>CHAR(252)</f>
        <v>ü</v>
      </c>
      <c r="I3" s="32" t="str">
        <f>CHAR(252)</f>
        <v>ü</v>
      </c>
      <c r="J3" s="32" t="str">
        <f>CHAR(252)</f>
        <v>ü</v>
      </c>
      <c r="K3" s="32" t="str">
        <f>CHAR(252)</f>
        <v>ü</v>
      </c>
      <c r="L3" s="32" t="str">
        <f>CHAR(252)</f>
        <v>ü</v>
      </c>
      <c r="M3" s="32" t="str">
        <f>CHAR(252)</f>
        <v>ü</v>
      </c>
      <c r="N3" s="32" t="str">
        <f>CHAR(251)</f>
        <v>û</v>
      </c>
    </row>
    <row r="4" spans="1:14" x14ac:dyDescent="0.25">
      <c r="A4" s="18">
        <v>3</v>
      </c>
      <c r="B4" s="18" t="s">
        <v>28</v>
      </c>
      <c r="C4" s="18" t="s">
        <v>83</v>
      </c>
      <c r="D4" s="33" t="s">
        <v>11</v>
      </c>
      <c r="E4" s="18"/>
      <c r="F4" s="32" t="str">
        <f>CHAR(252)</f>
        <v>ü</v>
      </c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19">
        <v>4</v>
      </c>
      <c r="B5" s="19" t="s">
        <v>29</v>
      </c>
      <c r="C5" s="19" t="s">
        <v>84</v>
      </c>
      <c r="D5" s="33" t="s">
        <v>9</v>
      </c>
      <c r="E5" s="19"/>
      <c r="F5" s="32" t="str">
        <f>CHAR(252)</f>
        <v>ü</v>
      </c>
      <c r="G5" s="34"/>
      <c r="H5" s="34"/>
      <c r="I5" s="34"/>
      <c r="J5" s="34"/>
      <c r="K5" s="34"/>
      <c r="L5" s="34"/>
      <c r="M5" s="34"/>
      <c r="N5" s="34"/>
    </row>
    <row r="6" spans="1:14" x14ac:dyDescent="0.25">
      <c r="A6" s="18">
        <v>5</v>
      </c>
      <c r="B6" s="18" t="s">
        <v>30</v>
      </c>
      <c r="C6" s="18" t="s">
        <v>31</v>
      </c>
      <c r="D6" s="33" t="s">
        <v>12</v>
      </c>
      <c r="E6" s="18"/>
      <c r="F6" s="32" t="str">
        <f>CHAR(252)</f>
        <v>ü</v>
      </c>
      <c r="G6" s="18"/>
      <c r="H6" s="18"/>
      <c r="I6" s="18"/>
      <c r="J6" s="18"/>
      <c r="K6" s="18"/>
      <c r="L6" s="18"/>
      <c r="M6" s="18"/>
      <c r="N6" s="18"/>
    </row>
    <row r="7" spans="1:14" x14ac:dyDescent="0.25">
      <c r="A7" s="19">
        <v>6</v>
      </c>
      <c r="B7" s="19" t="s">
        <v>32</v>
      </c>
      <c r="C7" s="19" t="s">
        <v>85</v>
      </c>
      <c r="D7" s="33" t="s">
        <v>16</v>
      </c>
      <c r="E7" s="19"/>
      <c r="F7" s="32" t="str">
        <f>CHAR(252)</f>
        <v>ü</v>
      </c>
      <c r="G7" s="19"/>
      <c r="H7" s="19"/>
      <c r="I7" s="19"/>
      <c r="J7" s="19"/>
      <c r="K7" s="19"/>
      <c r="L7" s="19"/>
      <c r="M7" s="19"/>
      <c r="N7" s="19"/>
    </row>
    <row r="8" spans="1:14" x14ac:dyDescent="0.25">
      <c r="A8" s="18">
        <v>7</v>
      </c>
      <c r="B8" s="18" t="s">
        <v>33</v>
      </c>
      <c r="C8" s="18" t="s">
        <v>34</v>
      </c>
      <c r="D8" s="33" t="s">
        <v>7</v>
      </c>
      <c r="E8" s="18"/>
      <c r="F8" s="32" t="str">
        <f>CHAR(252)</f>
        <v>ü</v>
      </c>
      <c r="G8" s="18"/>
      <c r="H8" s="18"/>
      <c r="I8" s="18"/>
      <c r="J8" s="18"/>
      <c r="K8" s="18"/>
      <c r="L8" s="18"/>
      <c r="M8" s="18"/>
      <c r="N8" s="18"/>
    </row>
    <row r="9" spans="1:14" x14ac:dyDescent="0.25">
      <c r="A9" s="19">
        <v>8</v>
      </c>
      <c r="B9" s="19" t="s">
        <v>35</v>
      </c>
      <c r="C9" s="19" t="s">
        <v>36</v>
      </c>
      <c r="D9" s="33" t="s">
        <v>19</v>
      </c>
      <c r="E9" s="19"/>
      <c r="F9" t="str">
        <f>CHAR(150)</f>
        <v>–</v>
      </c>
      <c r="G9" t="str">
        <f>CHAR(150)</f>
        <v>–</v>
      </c>
      <c r="H9" s="32" t="str">
        <f>CHAR(252)</f>
        <v>ü</v>
      </c>
      <c r="I9" s="32" t="str">
        <f>CHAR(252)</f>
        <v>ü</v>
      </c>
      <c r="J9" s="32" t="str">
        <f>CHAR(251)</f>
        <v>û</v>
      </c>
      <c r="K9" s="19"/>
      <c r="L9" s="19"/>
      <c r="M9" s="19"/>
      <c r="N9" s="19"/>
    </row>
    <row r="10" spans="1:14" x14ac:dyDescent="0.25">
      <c r="A10" s="18">
        <v>9</v>
      </c>
      <c r="B10" s="18" t="s">
        <v>38</v>
      </c>
      <c r="C10" s="18" t="s">
        <v>39</v>
      </c>
      <c r="D10" s="33" t="s">
        <v>5</v>
      </c>
      <c r="E10" s="18" t="s">
        <v>40</v>
      </c>
      <c r="F10" s="32" t="str">
        <f>CHAR(252)</f>
        <v>ü</v>
      </c>
      <c r="G10" s="18"/>
      <c r="H10" s="18"/>
      <c r="I10" s="18"/>
      <c r="J10" s="18"/>
      <c r="K10" s="18"/>
      <c r="L10" s="18"/>
      <c r="M10" s="18"/>
      <c r="N10" s="18"/>
    </row>
    <row r="11" spans="1:14" x14ac:dyDescent="0.25">
      <c r="A11" s="19">
        <v>10</v>
      </c>
      <c r="B11" s="19" t="s">
        <v>41</v>
      </c>
      <c r="C11" s="19" t="s">
        <v>86</v>
      </c>
      <c r="D11" s="33" t="s">
        <v>5</v>
      </c>
      <c r="E11" s="19"/>
      <c r="F11" s="32" t="str">
        <f>CHAR(252)</f>
        <v>ü</v>
      </c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18">
        <v>11</v>
      </c>
      <c r="B12" s="18" t="s">
        <v>42</v>
      </c>
      <c r="C12" s="18" t="s">
        <v>43</v>
      </c>
      <c r="D12" s="33" t="s">
        <v>15</v>
      </c>
      <c r="E12" s="18"/>
      <c r="F12" s="32" t="str">
        <f>CHAR(252)</f>
        <v>ü</v>
      </c>
      <c r="G12" s="18"/>
      <c r="H12" s="18"/>
      <c r="I12" s="18"/>
      <c r="J12" s="18"/>
      <c r="K12" s="18"/>
      <c r="L12" s="18"/>
      <c r="M12" s="18"/>
      <c r="N12" s="18"/>
    </row>
    <row r="13" spans="1:14" x14ac:dyDescent="0.25">
      <c r="A13" s="19">
        <v>12</v>
      </c>
      <c r="B13" s="19" t="s">
        <v>44</v>
      </c>
      <c r="C13" s="19" t="s">
        <v>45</v>
      </c>
      <c r="D13" s="33" t="s">
        <v>9</v>
      </c>
      <c r="E13" s="19"/>
      <c r="F13" s="32" t="str">
        <f>CHAR(252)</f>
        <v>ü</v>
      </c>
      <c r="G13" s="19"/>
      <c r="H13" s="19"/>
      <c r="I13" s="19"/>
      <c r="J13" s="19"/>
      <c r="K13" s="19"/>
      <c r="L13" s="19"/>
      <c r="M13" s="19"/>
      <c r="N13" s="19"/>
    </row>
    <row r="14" spans="1:14" x14ac:dyDescent="0.25">
      <c r="A14" s="18">
        <v>13</v>
      </c>
      <c r="B14" s="18" t="s">
        <v>46</v>
      </c>
      <c r="C14" s="18" t="s">
        <v>47</v>
      </c>
      <c r="D14" s="33" t="s">
        <v>15</v>
      </c>
      <c r="E14" s="18"/>
      <c r="F14" s="32" t="str">
        <f>CHAR(252)</f>
        <v>ü</v>
      </c>
      <c r="G14" s="18"/>
      <c r="H14" s="18"/>
      <c r="I14" s="18"/>
      <c r="J14" s="18"/>
      <c r="K14" s="18"/>
      <c r="L14" s="18"/>
      <c r="M14" s="18"/>
      <c r="N14" s="18"/>
    </row>
    <row r="15" spans="1:14" x14ac:dyDescent="0.25">
      <c r="A15" s="19">
        <v>14</v>
      </c>
      <c r="B15" s="19" t="s">
        <v>48</v>
      </c>
      <c r="C15" s="19" t="s">
        <v>49</v>
      </c>
      <c r="D15" s="33" t="s">
        <v>11</v>
      </c>
      <c r="E15" s="19"/>
      <c r="F15" s="32" t="str">
        <f>CHAR(251)</f>
        <v>û</v>
      </c>
      <c r="G15" s="32" t="str">
        <f>CHAR(251)</f>
        <v>û</v>
      </c>
      <c r="H15" s="32" t="str">
        <f>CHAR(251)</f>
        <v>û</v>
      </c>
      <c r="I15" s="32" t="str">
        <f>CHAR(251)</f>
        <v>û</v>
      </c>
      <c r="J15" s="32" t="str">
        <f>CHAR(251)</f>
        <v>û</v>
      </c>
      <c r="K15" s="32" t="str">
        <f>CHAR(251)</f>
        <v>û</v>
      </c>
      <c r="L15" s="32" t="str">
        <f>CHAR(251)</f>
        <v>û</v>
      </c>
      <c r="M15" s="32" t="str">
        <f>CHAR(251)</f>
        <v>û</v>
      </c>
      <c r="N15" s="32" t="str">
        <f>CHAR(251)</f>
        <v>û</v>
      </c>
    </row>
    <row r="16" spans="1:14" x14ac:dyDescent="0.25">
      <c r="A16" s="18">
        <v>15</v>
      </c>
      <c r="B16" s="18" t="s">
        <v>50</v>
      </c>
      <c r="C16" s="18" t="s">
        <v>51</v>
      </c>
      <c r="D16" s="33" t="s">
        <v>10</v>
      </c>
      <c r="E16" s="18"/>
      <c r="F16" s="32" t="str">
        <f>CHAR(252)</f>
        <v>ü</v>
      </c>
      <c r="G16" s="18"/>
      <c r="H16" s="18"/>
      <c r="I16" s="18"/>
      <c r="J16" s="18"/>
      <c r="K16" s="18"/>
      <c r="L16" s="18"/>
      <c r="M16" s="18"/>
      <c r="N16" s="18"/>
    </row>
    <row r="17" spans="1:14" x14ac:dyDescent="0.25">
      <c r="A17" s="19">
        <v>16</v>
      </c>
      <c r="B17" s="19" t="s">
        <v>52</v>
      </c>
      <c r="C17" s="19" t="s">
        <v>53</v>
      </c>
      <c r="D17" s="33" t="s">
        <v>19</v>
      </c>
      <c r="E17" s="19"/>
      <c r="F17" s="32" t="str">
        <f>CHAR(252)</f>
        <v>ü</v>
      </c>
      <c r="G17" s="19"/>
      <c r="H17" s="19"/>
      <c r="I17" s="19"/>
      <c r="J17" s="19"/>
      <c r="K17" s="19"/>
      <c r="L17" s="19"/>
      <c r="M17" s="19"/>
      <c r="N17" s="19"/>
    </row>
    <row r="18" spans="1:14" x14ac:dyDescent="0.25">
      <c r="A18" s="18">
        <v>17</v>
      </c>
      <c r="B18" s="18" t="s">
        <v>54</v>
      </c>
      <c r="C18" s="18" t="s">
        <v>95</v>
      </c>
      <c r="D18" s="33" t="s">
        <v>15</v>
      </c>
      <c r="E18" s="18" t="s">
        <v>55</v>
      </c>
      <c r="F18" s="32" t="str">
        <f>CHAR(252)</f>
        <v>ü</v>
      </c>
      <c r="G18" s="32"/>
      <c r="H18" s="32" t="str">
        <f>CHAR(252)</f>
        <v>ü</v>
      </c>
      <c r="I18" s="32" t="str">
        <f>CHAR(252)</f>
        <v>ü</v>
      </c>
      <c r="J18" s="32" t="str">
        <f>CHAR(252)</f>
        <v>ü</v>
      </c>
      <c r="K18" s="32" t="str">
        <f>CHAR(252)</f>
        <v>ü</v>
      </c>
      <c r="L18" s="32" t="str">
        <f>CHAR(252)</f>
        <v>ü</v>
      </c>
      <c r="M18" s="32" t="str">
        <f>CHAR(252)</f>
        <v>ü</v>
      </c>
      <c r="N18" s="32" t="str">
        <f>CHAR(252)</f>
        <v>ü</v>
      </c>
    </row>
    <row r="19" spans="1:14" x14ac:dyDescent="0.25">
      <c r="A19" s="19">
        <v>18</v>
      </c>
      <c r="B19" s="19" t="s">
        <v>56</v>
      </c>
      <c r="C19" s="19" t="s">
        <v>57</v>
      </c>
      <c r="D19" s="33" t="s">
        <v>5</v>
      </c>
      <c r="E19" s="19" t="s">
        <v>58</v>
      </c>
      <c r="F19" s="19"/>
      <c r="G19" s="19"/>
      <c r="H19" s="19"/>
      <c r="I19" s="19"/>
      <c r="J19" s="19"/>
      <c r="K19" s="19"/>
      <c r="L19" s="19"/>
      <c r="M19" s="19"/>
      <c r="N19" s="19"/>
    </row>
    <row r="20" spans="1:14" x14ac:dyDescent="0.25">
      <c r="A20" s="18">
        <v>19</v>
      </c>
      <c r="B20" s="18" t="s">
        <v>59</v>
      </c>
      <c r="C20" s="18" t="s">
        <v>60</v>
      </c>
      <c r="D20" s="33" t="s">
        <v>12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25">
      <c r="A21" s="19">
        <v>20</v>
      </c>
      <c r="B21" s="19" t="s">
        <v>61</v>
      </c>
      <c r="C21" s="19" t="s">
        <v>62</v>
      </c>
      <c r="D21" s="33" t="s">
        <v>14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18">
        <v>21</v>
      </c>
      <c r="B22" s="18" t="s">
        <v>63</v>
      </c>
      <c r="C22" s="18" t="s">
        <v>64</v>
      </c>
      <c r="D22" s="33" t="s">
        <v>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5">
      <c r="A23" s="19">
        <v>22</v>
      </c>
      <c r="B23" s="19" t="s">
        <v>65</v>
      </c>
      <c r="C23" s="19" t="s">
        <v>66</v>
      </c>
      <c r="D23" s="33" t="s">
        <v>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x14ac:dyDescent="0.25">
      <c r="A24" s="18">
        <v>23</v>
      </c>
      <c r="B24" s="18" t="s">
        <v>67</v>
      </c>
      <c r="C24" s="18" t="s">
        <v>68</v>
      </c>
      <c r="D24" s="33" t="s">
        <v>10</v>
      </c>
      <c r="E24" s="18"/>
      <c r="F24" s="32" t="str">
        <f>CHAR(252)</f>
        <v>ü</v>
      </c>
      <c r="G24" s="32" t="str">
        <f>CHAR(252)</f>
        <v>ü</v>
      </c>
      <c r="H24" s="32" t="str">
        <f>CHAR(252)</f>
        <v>ü</v>
      </c>
      <c r="I24" s="32" t="str">
        <f>CHAR(252)</f>
        <v>ü</v>
      </c>
      <c r="J24" s="32" t="str">
        <f>CHAR(252)</f>
        <v>ü</v>
      </c>
      <c r="K24" s="32" t="str">
        <f>CHAR(252)</f>
        <v>ü</v>
      </c>
      <c r="L24" s="32" t="str">
        <f>CHAR(252)</f>
        <v>ü</v>
      </c>
      <c r="M24" s="32" t="str">
        <f>CHAR(252)</f>
        <v>ü</v>
      </c>
      <c r="N24" s="32" t="str">
        <f>CHAR(251)</f>
        <v>û</v>
      </c>
    </row>
    <row r="25" spans="1:14" x14ac:dyDescent="0.25">
      <c r="A25" s="19">
        <v>24</v>
      </c>
      <c r="B25" s="19" t="s">
        <v>69</v>
      </c>
      <c r="C25" s="19" t="s">
        <v>70</v>
      </c>
      <c r="D25" s="33" t="s">
        <v>10</v>
      </c>
      <c r="E25" s="19"/>
      <c r="F25" s="32" t="str">
        <f>CHAR(252)</f>
        <v>ü</v>
      </c>
      <c r="G25" s="32" t="str">
        <f>CHAR(252)</f>
        <v>ü</v>
      </c>
      <c r="H25" s="32" t="str">
        <f>CHAR(252)</f>
        <v>ü</v>
      </c>
      <c r="I25" s="32" t="str">
        <f>CHAR(252)</f>
        <v>ü</v>
      </c>
      <c r="J25" s="32" t="str">
        <f>CHAR(252)</f>
        <v>ü</v>
      </c>
      <c r="K25" s="32" t="str">
        <f>CHAR(252)</f>
        <v>ü</v>
      </c>
      <c r="L25" s="32" t="str">
        <f>CHAR(252)</f>
        <v>ü</v>
      </c>
      <c r="M25" s="32" t="str">
        <f>CHAR(252)</f>
        <v>ü</v>
      </c>
      <c r="N25" s="32" t="str">
        <f>CHAR(251)</f>
        <v>û</v>
      </c>
    </row>
    <row r="26" spans="1:14" x14ac:dyDescent="0.25">
      <c r="A26" s="18">
        <v>25</v>
      </c>
      <c r="B26" s="18" t="s">
        <v>71</v>
      </c>
      <c r="C26" s="18" t="s">
        <v>72</v>
      </c>
      <c r="D26" s="33" t="s">
        <v>10</v>
      </c>
      <c r="E26" s="18"/>
      <c r="F26" s="32" t="str">
        <f>CHAR(252)</f>
        <v>ü</v>
      </c>
      <c r="G26" s="32" t="str">
        <f>CHAR(252)</f>
        <v>ü</v>
      </c>
      <c r="H26" s="32" t="str">
        <f>CHAR(252)</f>
        <v>ü</v>
      </c>
      <c r="I26" s="32" t="str">
        <f>CHAR(252)</f>
        <v>ü</v>
      </c>
      <c r="J26" s="32" t="str">
        <f>CHAR(252)</f>
        <v>ü</v>
      </c>
      <c r="K26" s="32" t="str">
        <f>CHAR(252)</f>
        <v>ü</v>
      </c>
      <c r="L26" s="32" t="str">
        <f>CHAR(252)</f>
        <v>ü</v>
      </c>
      <c r="M26" s="32" t="str">
        <f>CHAR(252)</f>
        <v>ü</v>
      </c>
      <c r="N26" s="32" t="str">
        <f>CHAR(251)</f>
        <v>û</v>
      </c>
    </row>
    <row r="27" spans="1:14" x14ac:dyDescent="0.25">
      <c r="A27" s="19">
        <v>26</v>
      </c>
      <c r="B27" s="19" t="s">
        <v>96</v>
      </c>
      <c r="C27" s="19" t="s">
        <v>97</v>
      </c>
      <c r="D27" s="33" t="s">
        <v>10</v>
      </c>
      <c r="E27" s="19"/>
      <c r="F27" s="32" t="str">
        <f>CHAR(252)</f>
        <v>ü</v>
      </c>
      <c r="G27" s="32" t="str">
        <f>CHAR(252)</f>
        <v>ü</v>
      </c>
      <c r="H27" s="32" t="str">
        <f>CHAR(252)</f>
        <v>ü</v>
      </c>
      <c r="I27" s="32" t="str">
        <f>CHAR(252)</f>
        <v>ü</v>
      </c>
      <c r="J27" s="32" t="str">
        <f>CHAR(252)</f>
        <v>ü</v>
      </c>
      <c r="K27" s="32" t="str">
        <f>CHAR(252)</f>
        <v>ü</v>
      </c>
      <c r="L27" s="32" t="str">
        <f>CHAR(252)</f>
        <v>ü</v>
      </c>
      <c r="M27" s="32" t="str">
        <f>CHAR(252)</f>
        <v>ü</v>
      </c>
      <c r="N27" s="32" t="str">
        <f>CHAR(251)</f>
        <v>û</v>
      </c>
    </row>
  </sheetData>
  <conditionalFormatting sqref="D2:D1000">
    <cfRule type="cellIs" dxfId="27" priority="1" stopIfTrue="1" operator="equal">
      <formula>"Development"</formula>
    </cfRule>
    <cfRule type="cellIs" dxfId="26" priority="2" stopIfTrue="1" operator="equal">
      <formula>"SIT"</formula>
    </cfRule>
    <cfRule type="cellIs" dxfId="25" priority="3" stopIfTrue="1" operator="equal">
      <formula>"UAT"</formula>
    </cfRule>
    <cfRule type="cellIs" dxfId="24" priority="4" stopIfTrue="1" operator="equal">
      <formula>"EA"</formula>
    </cfRule>
    <cfRule type="cellIs" dxfId="23" priority="5" stopIfTrue="1" operator="equal">
      <formula>"In Progress"</formula>
    </cfRule>
    <cfRule type="cellIs" dxfId="22" priority="6" stopIfTrue="1" operator="equal">
      <formula>"RTB - Handover"</formula>
    </cfRule>
    <cfRule type="cellIs" dxfId="21" priority="7" stopIfTrue="1" operator="equal">
      <formula>"RTB-Handover"</formula>
    </cfRule>
    <cfRule type="cellIs" dxfId="20" priority="8" stopIfTrue="1" operator="equal">
      <formula>"Grooming"</formula>
    </cfRule>
    <cfRule type="cellIs" dxfId="19" priority="9" stopIfTrue="1" operator="equal">
      <formula>"Pending"</formula>
    </cfRule>
    <cfRule type="cellIs" dxfId="18" priority="10" stopIfTrue="1" operator="equal">
      <formula>"Staging"</formula>
    </cfRule>
    <cfRule type="cellIs" dxfId="17" priority="11" stopIfTrue="1" operator="equal">
      <formula>"FSD"</formula>
    </cfRule>
    <cfRule type="cellIs" dxfId="16" priority="12" stopIfTrue="1" operator="equal">
      <formula>"Gone Live"</formula>
    </cfRule>
    <cfRule type="cellIs" dxfId="15" priority="13" stopIfTrue="1" operator="equal">
      <formula>"Go-Live"</formula>
    </cfRule>
    <cfRule type="cellIs" dxfId="14" priority="14" stopIfTrue="1" operator="equal">
      <formula>"PGL"</formula>
    </cfRule>
    <cfRule type="cellIs" dxfId="13" priority="15" stopIfTrue="1" operator="equal">
      <formula>"Analysis"</formula>
    </cfRule>
    <cfRule type="cellIs" dxfId="12" priority="16" stopIfTrue="1" operator="equal">
      <formula>"Support"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2F7A-7CAC-44DD-8928-CBA295238171}">
  <sheetPr>
    <tabColor rgb="FFED7D31"/>
  </sheetPr>
  <dimension ref="A1:Q5"/>
  <sheetViews>
    <sheetView workbookViewId="0">
      <pane ySplit="1" topLeftCell="A2" activePane="bottomLeft" state="frozenSplit"/>
      <selection pane="bottomLeft" activeCell="B4" sqref="B4"/>
    </sheetView>
  </sheetViews>
  <sheetFormatPr defaultRowHeight="15" x14ac:dyDescent="0.25"/>
  <cols>
    <col min="1" max="1" width="7.140625" bestFit="1" customWidth="1"/>
    <col min="2" max="2" width="49.7109375" bestFit="1" customWidth="1"/>
    <col min="3" max="3" width="8.85546875" bestFit="1" customWidth="1"/>
    <col min="5" max="5" width="8.85546875" bestFit="1" customWidth="1"/>
    <col min="6" max="6" width="3.28515625" bestFit="1" customWidth="1"/>
    <col min="7" max="7" width="4.5703125" bestFit="1" customWidth="1"/>
    <col min="8" max="8" width="3.7109375" bestFit="1" customWidth="1"/>
    <col min="9" max="9" width="4.42578125" bestFit="1" customWidth="1"/>
    <col min="10" max="10" width="7.5703125" bestFit="1" customWidth="1"/>
    <col min="11" max="11" width="8" bestFit="1" customWidth="1"/>
    <col min="12" max="12" width="4.5703125" bestFit="1" customWidth="1"/>
    <col min="13" max="13" width="9" bestFit="1" customWidth="1"/>
    <col min="14" max="14" width="6.7109375" bestFit="1" customWidth="1"/>
    <col min="15" max="16" width="8.85546875" bestFit="1" customWidth="1"/>
    <col min="17" max="17" width="8.5703125" bestFit="1" customWidth="1"/>
  </cols>
  <sheetData>
    <row r="1" spans="1:17" ht="45" x14ac:dyDescent="0.25">
      <c r="A1" s="17" t="s">
        <v>21</v>
      </c>
      <c r="B1" s="17" t="s">
        <v>73</v>
      </c>
      <c r="C1" s="17" t="s">
        <v>11</v>
      </c>
      <c r="D1" s="17" t="s">
        <v>74</v>
      </c>
      <c r="E1" s="17" t="s">
        <v>75</v>
      </c>
      <c r="F1" s="17" t="s">
        <v>8</v>
      </c>
      <c r="G1" s="17" t="s">
        <v>76</v>
      </c>
      <c r="H1" s="17" t="s">
        <v>6</v>
      </c>
      <c r="I1" s="17" t="s">
        <v>7</v>
      </c>
      <c r="J1" s="17" t="s">
        <v>13</v>
      </c>
      <c r="K1" s="17" t="s">
        <v>16</v>
      </c>
      <c r="L1" s="17" t="s">
        <v>17</v>
      </c>
      <c r="M1" s="17" t="s">
        <v>10</v>
      </c>
      <c r="N1" s="17" t="s">
        <v>3</v>
      </c>
      <c r="O1" s="17" t="s">
        <v>77</v>
      </c>
      <c r="P1" s="17" t="s">
        <v>78</v>
      </c>
      <c r="Q1" s="17" t="s">
        <v>23</v>
      </c>
    </row>
    <row r="2" spans="1:17" ht="30" x14ac:dyDescent="0.25">
      <c r="A2" s="20" t="s">
        <v>37</v>
      </c>
      <c r="B2" s="20" t="s">
        <v>79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19" t="s">
        <v>37</v>
      </c>
      <c r="B3" s="19" t="s">
        <v>80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0" x14ac:dyDescent="0.25">
      <c r="A4" s="20" t="s">
        <v>37</v>
      </c>
      <c r="B4" s="20" t="s">
        <v>81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x14ac:dyDescent="0.25">
      <c r="A5" s="19" t="s">
        <v>37</v>
      </c>
      <c r="B5" s="19" t="s">
        <v>82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</sheetData>
  <conditionalFormatting sqref="N2:N5">
    <cfRule type="cellIs" dxfId="11" priority="1" stopIfTrue="1" operator="equal">
      <formula>"Development"</formula>
    </cfRule>
    <cfRule type="cellIs" dxfId="10" priority="2" stopIfTrue="1" operator="equal">
      <formula>"UAT"</formula>
    </cfRule>
    <cfRule type="cellIs" dxfId="9" priority="3" stopIfTrue="1" operator="equal">
      <formula>"RTB - Handover"</formula>
    </cfRule>
    <cfRule type="cellIs" dxfId="8" priority="4" stopIfTrue="1" operator="equal">
      <formula>"Go-Live"</formula>
    </cfRule>
    <cfRule type="cellIs" dxfId="7" priority="5" stopIfTrue="1" operator="equal">
      <formula>"Staging"</formula>
    </cfRule>
    <cfRule type="cellIs" dxfId="6" priority="6" stopIfTrue="1" operator="equal">
      <formula>"EA"</formula>
    </cfRule>
    <cfRule type="cellIs" dxfId="5" priority="7" stopIfTrue="1" operator="equal">
      <formula>"FSD"</formula>
    </cfRule>
    <cfRule type="cellIs" dxfId="4" priority="8" stopIfTrue="1" operator="equal">
      <formula>"Grooming"</formula>
    </cfRule>
    <cfRule type="cellIs" dxfId="3" priority="9" stopIfTrue="1" operator="equal">
      <formula>"Pending"</formula>
    </cfRule>
    <cfRule type="cellIs" dxfId="2" priority="10" stopIfTrue="1" operator="equal">
      <formula>"PGL"</formula>
    </cfRule>
    <cfRule type="cellIs" dxfId="1" priority="11" stopIfTrue="1" operator="equal">
      <formula>"Analysis"</formula>
    </cfRule>
    <cfRule type="cellIs" dxfId="0" priority="12" stopIfTrue="1" operator="equal">
      <formula>"Support"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Project Tracker</vt:lpstr>
      <vt:lpstr>Production Issues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patchappalam</dc:creator>
  <cp:lastModifiedBy>hariprasath patchappalam</cp:lastModifiedBy>
  <dcterms:created xsi:type="dcterms:W3CDTF">2026-08-04T11:30:58Z</dcterms:created>
  <dcterms:modified xsi:type="dcterms:W3CDTF">2026-08-04T12:09:51Z</dcterms:modified>
</cp:coreProperties>
</file>